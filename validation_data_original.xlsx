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oasc\Documents\Doctorado\Material de trabajo\3 - Paleocoordenadas\PACA\ARTÍCULO\VALIDACIÓN_OTROS\"/>
    </mc:Choice>
  </mc:AlternateContent>
  <xr:revisionPtr revIDLastSave="0" documentId="13_ncr:1_{F53B6AFA-3E68-40F2-BF03-52C898968028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<sst xmlns="http://schemas.openxmlformats.org/spreadsheetml/2006/main" count="253" uniqueCount="224">
  <si>
    <t>locality</t>
  </si>
  <si>
    <t>lng</t>
  </si>
  <si>
    <t>lat</t>
  </si>
  <si>
    <t>references</t>
  </si>
  <si>
    <t>Allosaurus fragilis</t>
  </si>
  <si>
    <t>Allosauridae</t>
  </si>
  <si>
    <t>Saurischia</t>
  </si>
  <si>
    <t>Morrison Formation</t>
  </si>
  <si>
    <t>Cleveland-Lloyd Dinosaur Quarry, Utah, USA</t>
  </si>
  <si>
    <t>Anomalocaris canadensis</t>
  </si>
  <si>
    <t>Anomalocarididae</t>
  </si>
  <si>
    <t>Radiodonta</t>
  </si>
  <si>
    <t>Burgess Shale</t>
  </si>
  <si>
    <t>Walcott Quarry, Yoho National Park, BC, Canada</t>
  </si>
  <si>
    <t>Apex predator of the Cambrian Explosion.</t>
  </si>
  <si>
    <t>Archaeopteryx lithographica</t>
  </si>
  <si>
    <t>Archaeopterygidae</t>
  </si>
  <si>
    <t>Avialae</t>
  </si>
  <si>
    <t>Key transitional fossil between dinosaurs and birds.</t>
  </si>
  <si>
    <t>Argentavis magnificens</t>
  </si>
  <si>
    <t>Teratornithidae</t>
  </si>
  <si>
    <t>Cathartiformes</t>
  </si>
  <si>
    <t>La Pampa Province, Argentina</t>
  </si>
  <si>
    <t>Largest known flying bird in Earth's history.</t>
  </si>
  <si>
    <t>Argentinosaurus huinculensis</t>
  </si>
  <si>
    <t>Antarctosauridae</t>
  </si>
  <si>
    <t>Huincul Formation</t>
  </si>
  <si>
    <t>Plaza Huincul, Neuquén Province, Argentina</t>
  </si>
  <si>
    <t>One of the largest land animals ever, a titanosaurian sauropod.</t>
  </si>
  <si>
    <t>Hominidae</t>
  </si>
  <si>
    <t>Primates</t>
  </si>
  <si>
    <t>Hadar Formation</t>
  </si>
  <si>
    <t>Hadar, Afar Region, Ethiopia</t>
  </si>
  <si>
    <t>Famous early hominin, crucial for understanding bipedalism.</t>
  </si>
  <si>
    <t>Basilosaurus isis</t>
  </si>
  <si>
    <t>Basilosauridae</t>
  </si>
  <si>
    <t>Artiodactyla</t>
  </si>
  <si>
    <t>Early carnivorous whale with vestigial hind limbs; a key transitional form.</t>
  </si>
  <si>
    <t>Brachiosaurus altithorax</t>
  </si>
  <si>
    <t>Brachiosauridae</t>
  </si>
  <si>
    <t>Elrathia kingii</t>
  </si>
  <si>
    <t>Alokistocaridae</t>
  </si>
  <si>
    <t>Ptychopariida</t>
  </si>
  <si>
    <t>Wheeler Shale</t>
  </si>
  <si>
    <t>Eoraptor lunensis</t>
  </si>
  <si>
    <t>Ischigualasto Formation</t>
  </si>
  <si>
    <t>Ischigualasto Provincial Park, San Juan, Argentina</t>
  </si>
  <si>
    <t>One of the world's earliest known dinosaurs.</t>
  </si>
  <si>
    <t>Glossopteridaceae</t>
  </si>
  <si>
    <t>Glossopteridales</t>
  </si>
  <si>
    <t>Bowen Basin</t>
  </si>
  <si>
    <t>Queensland, Australia</t>
  </si>
  <si>
    <t>Ichthyosaurus communis</t>
  </si>
  <si>
    <t>Ichthyosauridae</t>
  </si>
  <si>
    <t>Ichthyosauria</t>
  </si>
  <si>
    <t>Blue Lias</t>
  </si>
  <si>
    <t>Lyme Regis, Dorset, UK</t>
  </si>
  <si>
    <t>Classic Early Jurassic marine reptile discovered by Mary Anning.</t>
  </si>
  <si>
    <t>Lystrosaurus murrayi</t>
  </si>
  <si>
    <t>Lystrosauridae</t>
  </si>
  <si>
    <t>Therapsida</t>
  </si>
  <si>
    <t>Dominant terrestrial vertebrate after the Permian-Triassic extinction.</t>
  </si>
  <si>
    <t>Meganeura monyi</t>
  </si>
  <si>
    <t>Meganeuridae</t>
  </si>
  <si>
    <t>Meganisoptera</t>
  </si>
  <si>
    <t>Commentry Shale</t>
  </si>
  <si>
    <t>Commentry, Allier, France</t>
  </si>
  <si>
    <t>Mosasaurus hoffmannii</t>
  </si>
  <si>
    <t>Mosasauridae</t>
  </si>
  <si>
    <t>Squamata</t>
  </si>
  <si>
    <t>Maastricht Formation</t>
  </si>
  <si>
    <t>St. Pietersberg Quarry, Maastricht, Netherlands</t>
  </si>
  <si>
    <t>Tiktaalik roseae</t>
  </si>
  <si>
    <t>Elpistostegidae</t>
  </si>
  <si>
    <t>Elpistostegalia</t>
  </si>
  <si>
    <t>Fram Formation</t>
  </si>
  <si>
    <t>Ellesmere Island, Nunavut, Canada</t>
  </si>
  <si>
    <t>Tyrannosaurus rex</t>
  </si>
  <si>
    <t>Tyrannosauridae</t>
  </si>
  <si>
    <t>Hell Creek Formation</t>
  </si>
  <si>
    <t>Velociraptor mongoliensis</t>
  </si>
  <si>
    <t>Dromaeosauridae</t>
  </si>
  <si>
    <t>Djadochta Formation</t>
  </si>
  <si>
    <t>Bayn Dzak (Flaming Cliffs), Gobi Desert, Mongolia</t>
  </si>
  <si>
    <t>N/A</t>
  </si>
  <si>
    <t>age_min</t>
  </si>
  <si>
    <t>age_max</t>
  </si>
  <si>
    <t>geological_context</t>
  </si>
  <si>
    <t>Sinosauropteryx prima</t>
  </si>
  <si>
    <t>Compsognathidae</t>
  </si>
  <si>
    <t>Yixian Formation</t>
  </si>
  <si>
    <t>Inostrancevia alexandri</t>
  </si>
  <si>
    <t>Gorgonopsidae</t>
  </si>
  <si>
    <t>Sokolki Assemblage, Salarevo Formation</t>
  </si>
  <si>
    <t>Homo erectus</t>
  </si>
  <si>
    <t>Cryolophosaurus ellioti</t>
  </si>
  <si>
    <t>Hanson Formation</t>
  </si>
  <si>
    <t>Mount Kirkpatrick, Transantarctic Mountains, Antarctica</t>
  </si>
  <si>
    <t>Tapejara wellnhoferi</t>
  </si>
  <si>
    <t>Tapejaridae</t>
  </si>
  <si>
    <t>Pterosauria</t>
  </si>
  <si>
    <t>Romualdo Member of the Santana Formation</t>
  </si>
  <si>
    <t>Araripe Basin, Ceará, Brazil</t>
  </si>
  <si>
    <t>Proplebeia dominicana</t>
  </si>
  <si>
    <t>Apidae</t>
  </si>
  <si>
    <t>Hymenoptera</t>
  </si>
  <si>
    <t>Moanasaurus mangahouangae</t>
  </si>
  <si>
    <t>Tahora Formation</t>
  </si>
  <si>
    <t>Mangahouanga Stream, Hawke's Bay, North Island, New Zealand</t>
  </si>
  <si>
    <t>Otodus megalodon</t>
  </si>
  <si>
    <t>Otodontidae</t>
  </si>
  <si>
    <t>Lamniformes</t>
  </si>
  <si>
    <t>Gatun Formation</t>
  </si>
  <si>
    <t>geological_age</t>
  </si>
  <si>
    <t>Late Jurassic</t>
  </si>
  <si>
    <t>Middle Cambrian</t>
  </si>
  <si>
    <t>Late Miocene</t>
  </si>
  <si>
    <t>Late Cretaceous</t>
  </si>
  <si>
    <t>Pliocene</t>
  </si>
  <si>
    <t>Late Eocene</t>
  </si>
  <si>
    <t>Early Cretaceous</t>
  </si>
  <si>
    <t>Late Triassic</t>
  </si>
  <si>
    <t>Early Jurassic</t>
  </si>
  <si>
    <t>Early Triassic</t>
  </si>
  <si>
    <t>Late Carboniferous</t>
  </si>
  <si>
    <t>Late Devonian</t>
  </si>
  <si>
    <t>Miocene</t>
  </si>
  <si>
    <t>Late Permian</t>
  </si>
  <si>
    <t>Pleistocene</t>
  </si>
  <si>
    <t>Present</t>
  </si>
  <si>
    <t>information</t>
  </si>
  <si>
    <t>Whiteaves, 1892 / Whittington &amp; Briggs, 1985</t>
  </si>
  <si>
    <t>Mörnsheim Formation</t>
  </si>
  <si>
    <t>Donau-Ries District, Bavaria, Germany</t>
  </si>
  <si>
    <t>Cerro Azul Formation</t>
  </si>
  <si>
    <t>Campbell &amp; Tonni, 1980 / Cenizo et al., 2011</t>
  </si>
  <si>
    <t>Bonaparte &amp; Coria, 1993 / Garrido, 2010</t>
  </si>
  <si>
    <t>Johanson &amp; Taieb, 1976</t>
  </si>
  <si>
    <t>Wadi Esh-Shallala Formation</t>
  </si>
  <si>
    <t>Zarqa Governorate, Jordan</t>
  </si>
  <si>
    <t>Zalmout et al., 2000</t>
  </si>
  <si>
    <t>Grand River valley, Colorado, USA</t>
  </si>
  <si>
    <t>Riggs, 1903 / Taylor, 2011</t>
  </si>
  <si>
    <t>Hallucinochrysa diogenesi</t>
  </si>
  <si>
    <t>Chrysopidae</t>
  </si>
  <si>
    <t>Neuroptera</t>
  </si>
  <si>
    <t>El Soplao, Cantabria, Spain</t>
  </si>
  <si>
    <t>Rabago-El Soplao Amber</t>
  </si>
  <si>
    <t>One of the earliest fossil records of complex camouflage behavior in insects.</t>
  </si>
  <si>
    <t>Pérez-de la Fuente et al., 2012</t>
  </si>
  <si>
    <t>Hammer &amp; Hickerson, 1994 / Smith et al. 2007</t>
  </si>
  <si>
    <t>Neotheropoda</t>
  </si>
  <si>
    <t>Gaines &amp; Droser, 2003</t>
  </si>
  <si>
    <t>House Range, Millard County, Utah, USA</t>
  </si>
  <si>
    <t>Sauropodomorpha</t>
  </si>
  <si>
    <t>family_or_clade</t>
  </si>
  <si>
    <t>Glossopteris bucklandensis</t>
  </si>
  <si>
    <t>McLoughlin, 1990</t>
  </si>
  <si>
    <t>Iconic Permian plant whose global distribution was key evidence for Gondwana.</t>
  </si>
  <si>
    <t>Hexanchidae</t>
  </si>
  <si>
    <t>Hexanchiformes </t>
  </si>
  <si>
    <t>López de Bertodano Formation</t>
  </si>
  <si>
    <t>Xampylodon diastemacron</t>
  </si>
  <si>
    <t>Seymour Island, James Ross Archipelago, Antarctic Peninsula</t>
  </si>
  <si>
    <t>Otávio dos Santos, 2024</t>
  </si>
  <si>
    <t>Greenwich Zero Meridian</t>
  </si>
  <si>
    <t>Greenwich, London, UK</t>
  </si>
  <si>
    <t>International Meridian Conference, 1884</t>
  </si>
  <si>
    <t>Thylacosmilus atrox</t>
  </si>
  <si>
    <t>Thylacosmilidae</t>
  </si>
  <si>
    <t>Sparassodonta</t>
  </si>
  <si>
    <t>Corral Quemado Formation</t>
  </si>
  <si>
    <t>Hualfin, Catamarca, Argentina</t>
  </si>
  <si>
    <t>South American metatherian with hypercarnivorous dentition.</t>
  </si>
  <si>
    <t>Forasiepi et al., 2019</t>
  </si>
  <si>
    <t>Widintano &amp; Noerwidi, 2023</t>
  </si>
  <si>
    <t>Pucangan Formation</t>
  </si>
  <si>
    <t>Java Island, Indonesia</t>
  </si>
  <si>
    <t>Northern Dvina River, Arkhangelsk Region, Russia</t>
  </si>
  <si>
    <t>Nooitgedacht 68, Bethulie District, Eastern Cape Province, South Africa.</t>
  </si>
  <si>
    <t>Marsh, 1877 / Hunt et al., 2006</t>
  </si>
  <si>
    <t>von Meyer, 1861 / Kundrát et al., 2019</t>
  </si>
  <si>
    <t>Sereno et al., 1993 / Martínez et al., 2011</t>
  </si>
  <si>
    <t>Daeschler et al., 2006</t>
  </si>
  <si>
    <t>order_or_clade</t>
  </si>
  <si>
    <t>Brongniart, 1893 / Kukalova, 1969</t>
  </si>
  <si>
    <t>Jordan, Montana, USA</t>
  </si>
  <si>
    <t>Horner et al., 2011</t>
  </si>
  <si>
    <t>Osborn, 1924 / Dashzeveg et al., 2005</t>
  </si>
  <si>
    <t>Wiffen, 1980 / Young et al., 2010</t>
  </si>
  <si>
    <t>Faujas de Saint-Fond, 1799 / Street &amp; Caldwell, 2017</t>
  </si>
  <si>
    <t>Gatun, Colon Province, Panama</t>
  </si>
  <si>
    <t>Pimiento et al., 2013 / LeBlanc, 2021</t>
  </si>
  <si>
    <t>One of the largest and most powerful macropredators in vertebrate history.</t>
  </si>
  <si>
    <t>Poinar, 2016</t>
  </si>
  <si>
    <t>Amber mine, Cordillera Septentrional, Santiago Province, Dominican Republic</t>
  </si>
  <si>
    <t>Dominican Amber, El Mamey Formation</t>
  </si>
  <si>
    <t>Ji &amp; Ji, 1996 / Chen et al., 1998 / Zhou, 2006</t>
  </si>
  <si>
    <t>Liaoning Province, China</t>
  </si>
  <si>
    <t>Elgin &amp; Campos, 2012 / Prado et al., 2016</t>
  </si>
  <si>
    <t>Australopithecus afarensis</t>
  </si>
  <si>
    <t>Botha &amp; Smith, 2007 / Botha et al., 2020 / Botha, 2020 / Smith et al., 2022</t>
  </si>
  <si>
    <t>Conybeare, 1822 / Massare &amp; Lomax, 2018</t>
  </si>
  <si>
    <t>Golubev, 2000 / Ochev &amp; Surkov, 2000</t>
  </si>
  <si>
    <t>Iconic large predator of the Late Jurassic.</t>
  </si>
  <si>
    <t>Famous sauropod of the Jurassic, initially thought to be one of the largest dinosaurs.</t>
  </si>
  <si>
    <t>One of the most common and recognizable trilobites.</t>
  </si>
  <si>
    <t>One of the first hominin fossils discovered and fundamental evidence of human evolution outside of Africa.</t>
  </si>
  <si>
    <t>Apex predator of the Late Paleozoic, just before the Permian-Triassic extinction event.</t>
  </si>
  <si>
    <t>Gigantic Carboniferous insect with a ~70 cm wingspan.</t>
  </si>
  <si>
    <t>Large marine predator that inhabited the seas covering the submerged continent of Zealandia.</t>
  </si>
  <si>
    <t>Giant marine reptile, apex predator of the Late Cretaceous seas.</t>
  </si>
  <si>
    <t>Key fossil bee from the Cenozoic Dominican amber, reflecting the fauna of a tropical island with a complex tectonic history.</t>
  </si>
  <si>
    <t>First non-avian dinosaur scientifically confirmed to have feathers.</t>
  </si>
  <si>
    <t>Famous pterosaur known for its enormous cranial crest, partly composed of exceptionally preserved soft tissue.</t>
  </si>
  <si>
    <t>Tetrapodomorph sarcopterygian fish, considered a key transitional fossil in the evolution from fish to early tetrapods.</t>
  </si>
  <si>
    <t>Most iconic apex predator dinosaur of the Late Cretaceous in North America.</t>
  </si>
  <si>
    <t>Iconic dromaeosaurid distinguished by its small size and elongated anterior cranial region.</t>
  </si>
  <si>
    <t>Giant shark of the Late Cretaceous discovered in Antarctica.</t>
  </si>
  <si>
    <t>Prime Meridian and global reference point for Coordinated Universal Time (UTC).</t>
  </si>
  <si>
    <t>Palingkloof member, Balfour Formation, Karoo Basin, Lystrosaurus Assemblage Zone</t>
  </si>
  <si>
    <t>First carnivorous dinosaur discovered in Antarctica, known for its distinctive crest.</t>
  </si>
  <si>
    <t>age_ma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</si>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</sst>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 Unicode MS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3"/>
  <sheetViews>
    <sheetView tabSelected="1" zoomScale="90" zoomScaleNormal="90" workbookViewId="0"/>
  </sheetViews>
  <sheetFormatPr baseColWidth="10" defaultColWidth="12.5703125" defaultRowHeight="15.75" customHeight="1"/>
  <cols>
    <col min="1" max="1" width="29.28515625" bestFit="1" customWidth="1"/>
    <col min="2" max="2" width="17.85546875" bestFit="1" customWidth="1"/>
    <col min="3" max="3" width="16.140625" bestFit="1" customWidth="1"/>
    <col min="4" max="4" width="78.140625" bestFit="1" customWidth="1"/>
    <col min="5" max="5" width="18.140625" bestFit="1" customWidth="1"/>
    <col min="6" max="6" width="9.5703125" bestFit="1" customWidth="1"/>
    <col min="7" max="7" width="8.85546875" bestFit="1" customWidth="1"/>
    <col min="9" max="9" width="13.28515625" bestFit="1" customWidth="1"/>
    <col min="10" max="10" width="14" bestFit="1" customWidth="1"/>
    <col min="11" max="11" width="70.28515625" bestFit="1" customWidth="1"/>
    <col min="12" max="12" width="109.28515625" bestFit="1" customWidth="1"/>
    <col min="13" max="13" width="65.28515625" bestFit="1" customWidth="1"/>
  </cols>
  <sheetData>
    <row r="1" spans="1:13" s="2" customFormat="1" ht="18" customHeight="1">
      <c r="A1" s="1" t="s">
        <v>223</v>
      </c>
      <c r="B1" s="1" t="s">
        <v>155</v>
      </c>
      <c r="C1" s="1" t="s">
        <v>184</v>
      </c>
      <c r="D1" s="1" t="s">
        <v>87</v>
      </c>
      <c r="E1" s="1" t="s">
        <v>113</v>
      </c>
      <c r="F1" s="1" t="s">
        <v>86</v>
      </c>
      <c r="G1" s="1" t="s">
        <v>85</v>
      </c>
      <c r="H1" s="16" t="s">
        <v>222</v>
      </c>
      <c r="I1" s="1" t="s">
        <v>1</v>
      </c>
      <c r="J1" s="1" t="s">
        <v>2</v>
      </c>
      <c r="K1" s="1" t="s">
        <v>0</v>
      </c>
      <c r="L1" s="1" t="s">
        <v>130</v>
      </c>
      <c r="M1" s="1" t="s">
        <v>3</v>
      </c>
    </row>
    <row r="2" spans="1:13" s="8" customFormat="1" ht="18" customHeight="1">
      <c r="A2" s="4" t="s">
        <v>4</v>
      </c>
      <c r="B2" s="5" t="s">
        <v>5</v>
      </c>
      <c r="C2" s="5" t="s">
        <v>6</v>
      </c>
      <c r="D2" s="5" t="s">
        <v>7</v>
      </c>
      <c r="E2" s="6" t="s">
        <v>114</v>
      </c>
      <c r="F2" s="5">
        <v>152</v>
      </c>
      <c r="G2" s="5">
        <v>148</v>
      </c>
      <c r="H2" s="8">
        <f>AVERAGE(F2:G2)</f>
        <v>150</v>
      </c>
      <c r="I2" s="7">
        <v>-110.68783999999999</v>
      </c>
      <c r="J2" s="7">
        <v>39.322679999999998</v>
      </c>
      <c r="K2" s="5" t="s">
        <v>8</v>
      </c>
      <c r="L2" s="5" t="s">
        <v>204</v>
      </c>
      <c r="M2" s="5" t="s">
        <v>180</v>
      </c>
    </row>
    <row r="3" spans="1:13" s="8" customFormat="1" ht="18" customHeight="1">
      <c r="A3" s="4" t="s">
        <v>9</v>
      </c>
      <c r="B3" s="5" t="s">
        <v>10</v>
      </c>
      <c r="C3" s="5" t="s">
        <v>11</v>
      </c>
      <c r="D3" s="5" t="s">
        <v>12</v>
      </c>
      <c r="E3" s="6" t="s">
        <v>115</v>
      </c>
      <c r="F3" s="5">
        <v>508</v>
      </c>
      <c r="G3" s="5">
        <v>508</v>
      </c>
      <c r="H3" s="8">
        <f t="shared" ref="H3:H31" si="0">AVERAGE(F3:G3)</f>
        <v>508</v>
      </c>
      <c r="I3" s="7">
        <v>-116.46689000000001</v>
      </c>
      <c r="J3" s="7">
        <v>51.43242</v>
      </c>
      <c r="K3" s="5" t="s">
        <v>13</v>
      </c>
      <c r="L3" s="5" t="s">
        <v>14</v>
      </c>
      <c r="M3" s="5" t="s">
        <v>131</v>
      </c>
    </row>
    <row r="4" spans="1:13" s="8" customFormat="1" ht="18" customHeight="1">
      <c r="A4" s="4" t="s">
        <v>15</v>
      </c>
      <c r="B4" s="5" t="s">
        <v>16</v>
      </c>
      <c r="C4" s="5" t="s">
        <v>17</v>
      </c>
      <c r="D4" s="5" t="s">
        <v>132</v>
      </c>
      <c r="E4" s="6" t="s">
        <v>114</v>
      </c>
      <c r="F4" s="5">
        <v>150.80000000000001</v>
      </c>
      <c r="G4" s="5">
        <v>150</v>
      </c>
      <c r="H4" s="8">
        <f t="shared" si="0"/>
        <v>150.4</v>
      </c>
      <c r="I4" s="15">
        <v>10.918900000000001</v>
      </c>
      <c r="J4" s="15">
        <v>48.799300000000002</v>
      </c>
      <c r="K4" s="5" t="s">
        <v>133</v>
      </c>
      <c r="L4" s="5" t="s">
        <v>18</v>
      </c>
      <c r="M4" s="5" t="s">
        <v>181</v>
      </c>
    </row>
    <row r="5" spans="1:13" s="8" customFormat="1" ht="18" customHeight="1">
      <c r="A5" s="4" t="s">
        <v>19</v>
      </c>
      <c r="B5" s="5" t="s">
        <v>20</v>
      </c>
      <c r="C5" s="5" t="s">
        <v>21</v>
      </c>
      <c r="D5" s="3" t="s">
        <v>134</v>
      </c>
      <c r="E5" s="6" t="s">
        <v>116</v>
      </c>
      <c r="F5" s="5">
        <v>9</v>
      </c>
      <c r="G5" s="5">
        <v>6.8</v>
      </c>
      <c r="H5" s="8">
        <f t="shared" si="0"/>
        <v>7.9</v>
      </c>
      <c r="I5" s="7">
        <v>-63.585095000000003</v>
      </c>
      <c r="J5" s="7">
        <v>-37.224159999999998</v>
      </c>
      <c r="K5" s="5" t="s">
        <v>22</v>
      </c>
      <c r="L5" s="5" t="s">
        <v>23</v>
      </c>
      <c r="M5" s="5" t="s">
        <v>135</v>
      </c>
    </row>
    <row r="6" spans="1:13" s="8" customFormat="1" ht="18" customHeight="1">
      <c r="A6" s="4" t="s">
        <v>24</v>
      </c>
      <c r="B6" s="5" t="s">
        <v>25</v>
      </c>
      <c r="C6" s="5" t="s">
        <v>6</v>
      </c>
      <c r="D6" s="3" t="s">
        <v>26</v>
      </c>
      <c r="E6" s="6" t="s">
        <v>117</v>
      </c>
      <c r="F6" s="5">
        <v>97</v>
      </c>
      <c r="G6" s="5">
        <v>93.5</v>
      </c>
      <c r="H6" s="8">
        <f t="shared" si="0"/>
        <v>95.25</v>
      </c>
      <c r="I6" s="7">
        <v>-69.838899999999995</v>
      </c>
      <c r="J6" s="7">
        <v>-38.92</v>
      </c>
      <c r="K6" s="3" t="s">
        <v>27</v>
      </c>
      <c r="L6" s="5" t="s">
        <v>28</v>
      </c>
      <c r="M6" s="3" t="s">
        <v>136</v>
      </c>
    </row>
    <row r="7" spans="1:13" s="8" customFormat="1" ht="18" customHeight="1">
      <c r="A7" s="4" t="s">
        <v>200</v>
      </c>
      <c r="B7" s="5" t="s">
        <v>29</v>
      </c>
      <c r="C7" s="5" t="s">
        <v>30</v>
      </c>
      <c r="D7" s="5" t="s">
        <v>31</v>
      </c>
      <c r="E7" s="6" t="s">
        <v>118</v>
      </c>
      <c r="F7" s="5">
        <v>3.2</v>
      </c>
      <c r="G7" s="5">
        <v>3.2</v>
      </c>
      <c r="H7" s="8">
        <f t="shared" si="0"/>
        <v>3.2</v>
      </c>
      <c r="I7" s="7">
        <v>40.633000000000003</v>
      </c>
      <c r="J7" s="7">
        <v>11.167</v>
      </c>
      <c r="K7" s="5" t="s">
        <v>32</v>
      </c>
      <c r="L7" s="5" t="s">
        <v>33</v>
      </c>
      <c r="M7" s="5" t="s">
        <v>137</v>
      </c>
    </row>
    <row r="8" spans="1:13" s="8" customFormat="1" ht="18" customHeight="1">
      <c r="A8" s="4" t="s">
        <v>34</v>
      </c>
      <c r="B8" s="5" t="s">
        <v>35</v>
      </c>
      <c r="C8" s="5" t="s">
        <v>36</v>
      </c>
      <c r="D8" s="5" t="s">
        <v>138</v>
      </c>
      <c r="E8" s="6" t="s">
        <v>119</v>
      </c>
      <c r="F8" s="5">
        <v>37.71</v>
      </c>
      <c r="G8" s="5">
        <v>33.9</v>
      </c>
      <c r="H8" s="8">
        <f t="shared" si="0"/>
        <v>35.805</v>
      </c>
      <c r="I8" s="7">
        <v>37.11833</v>
      </c>
      <c r="J8" s="7">
        <v>31.574439999999999</v>
      </c>
      <c r="K8" s="5" t="s">
        <v>139</v>
      </c>
      <c r="L8" s="5" t="s">
        <v>37</v>
      </c>
      <c r="M8" s="5" t="s">
        <v>140</v>
      </c>
    </row>
    <row r="9" spans="1:13" s="8" customFormat="1" ht="18" customHeight="1">
      <c r="A9" s="4" t="s">
        <v>38</v>
      </c>
      <c r="B9" s="5" t="s">
        <v>39</v>
      </c>
      <c r="C9" s="5" t="s">
        <v>6</v>
      </c>
      <c r="D9" s="5" t="s">
        <v>7</v>
      </c>
      <c r="E9" s="6" t="s">
        <v>114</v>
      </c>
      <c r="F9" s="5">
        <v>154</v>
      </c>
      <c r="G9" s="5">
        <v>153</v>
      </c>
      <c r="H9" s="8">
        <f t="shared" si="0"/>
        <v>153.5</v>
      </c>
      <c r="I9" s="15">
        <v>-108.6489</v>
      </c>
      <c r="J9" s="15">
        <v>39.073099999999997</v>
      </c>
      <c r="K9" s="5" t="s">
        <v>141</v>
      </c>
      <c r="L9" s="5" t="s">
        <v>205</v>
      </c>
      <c r="M9" s="5" t="s">
        <v>142</v>
      </c>
    </row>
    <row r="10" spans="1:13" s="8" customFormat="1" ht="18" customHeight="1">
      <c r="A10" s="9" t="s">
        <v>95</v>
      </c>
      <c r="B10" s="6" t="s">
        <v>151</v>
      </c>
      <c r="C10" s="6" t="s">
        <v>6</v>
      </c>
      <c r="D10" s="6" t="s">
        <v>96</v>
      </c>
      <c r="E10" s="6" t="s">
        <v>122</v>
      </c>
      <c r="F10" s="10">
        <v>192.9</v>
      </c>
      <c r="G10" s="6">
        <v>184.2</v>
      </c>
      <c r="H10" s="8">
        <f t="shared" si="0"/>
        <v>188.55</v>
      </c>
      <c r="I10" s="11">
        <v>166.42</v>
      </c>
      <c r="J10" s="12">
        <v>-84.33</v>
      </c>
      <c r="K10" s="6" t="s">
        <v>97</v>
      </c>
      <c r="L10" s="6" t="s">
        <v>221</v>
      </c>
      <c r="M10" s="6" t="s">
        <v>150</v>
      </c>
    </row>
    <row r="11" spans="1:13" s="8" customFormat="1" ht="18" customHeight="1">
      <c r="A11" s="4" t="s">
        <v>40</v>
      </c>
      <c r="B11" s="5" t="s">
        <v>41</v>
      </c>
      <c r="C11" s="5" t="s">
        <v>42</v>
      </c>
      <c r="D11" s="5" t="s">
        <v>43</v>
      </c>
      <c r="E11" s="6" t="s">
        <v>115</v>
      </c>
      <c r="F11" s="5">
        <v>509</v>
      </c>
      <c r="G11" s="5">
        <v>497</v>
      </c>
      <c r="H11" s="8">
        <f t="shared" si="0"/>
        <v>503</v>
      </c>
      <c r="I11" s="7">
        <v>-113.33333</v>
      </c>
      <c r="J11" s="7">
        <v>39.25</v>
      </c>
      <c r="K11" s="5" t="s">
        <v>153</v>
      </c>
      <c r="L11" s="5" t="s">
        <v>206</v>
      </c>
      <c r="M11" s="5" t="s">
        <v>152</v>
      </c>
    </row>
    <row r="12" spans="1:13" s="8" customFormat="1" ht="18" customHeight="1">
      <c r="A12" s="4" t="s">
        <v>44</v>
      </c>
      <c r="B12" s="5" t="s">
        <v>154</v>
      </c>
      <c r="C12" s="5" t="s">
        <v>6</v>
      </c>
      <c r="D12" s="5" t="s">
        <v>45</v>
      </c>
      <c r="E12" s="6" t="s">
        <v>121</v>
      </c>
      <c r="F12" s="5">
        <v>231.4</v>
      </c>
      <c r="G12" s="5">
        <v>225.9</v>
      </c>
      <c r="H12" s="8">
        <f t="shared" si="0"/>
        <v>228.65</v>
      </c>
      <c r="I12" s="7">
        <v>-67.936499999999995</v>
      </c>
      <c r="J12" s="7">
        <v>-30.067639</v>
      </c>
      <c r="K12" s="5" t="s">
        <v>46</v>
      </c>
      <c r="L12" s="5" t="s">
        <v>47</v>
      </c>
      <c r="M12" s="5" t="s">
        <v>182</v>
      </c>
    </row>
    <row r="13" spans="1:13" s="8" customFormat="1" ht="18" customHeight="1">
      <c r="A13" s="4" t="s">
        <v>156</v>
      </c>
      <c r="B13" s="5" t="s">
        <v>48</v>
      </c>
      <c r="C13" s="5" t="s">
        <v>49</v>
      </c>
      <c r="D13" s="5" t="s">
        <v>50</v>
      </c>
      <c r="E13" s="6" t="s">
        <v>127</v>
      </c>
      <c r="F13" s="5">
        <v>259.5</v>
      </c>
      <c r="G13" s="5">
        <v>254.1</v>
      </c>
      <c r="H13" s="8">
        <f t="shared" si="0"/>
        <v>256.8</v>
      </c>
      <c r="I13" s="7">
        <v>148.29</v>
      </c>
      <c r="J13" s="7">
        <v>-24.66</v>
      </c>
      <c r="K13" s="5" t="s">
        <v>51</v>
      </c>
      <c r="L13" s="5" t="s">
        <v>158</v>
      </c>
      <c r="M13" s="5" t="s">
        <v>157</v>
      </c>
    </row>
    <row r="14" spans="1:13" s="8" customFormat="1" ht="18" customHeight="1">
      <c r="A14" s="4" t="s">
        <v>143</v>
      </c>
      <c r="B14" s="5" t="s">
        <v>144</v>
      </c>
      <c r="C14" s="5" t="s">
        <v>145</v>
      </c>
      <c r="D14" s="5" t="s">
        <v>147</v>
      </c>
      <c r="E14" s="6" t="s">
        <v>120</v>
      </c>
      <c r="F14" s="5">
        <v>112</v>
      </c>
      <c r="G14" s="5">
        <v>110</v>
      </c>
      <c r="H14" s="8">
        <f t="shared" si="0"/>
        <v>111</v>
      </c>
      <c r="I14" s="7">
        <v>-4.4477099999999998</v>
      </c>
      <c r="J14" s="7">
        <v>43.30556</v>
      </c>
      <c r="K14" s="5" t="s">
        <v>146</v>
      </c>
      <c r="L14" s="5" t="s">
        <v>148</v>
      </c>
      <c r="M14" s="5" t="s">
        <v>149</v>
      </c>
    </row>
    <row r="15" spans="1:13" s="8" customFormat="1" ht="18" customHeight="1">
      <c r="A15" s="9" t="s">
        <v>94</v>
      </c>
      <c r="B15" s="6" t="s">
        <v>29</v>
      </c>
      <c r="C15" s="6" t="s">
        <v>30</v>
      </c>
      <c r="D15" s="6" t="s">
        <v>176</v>
      </c>
      <c r="E15" s="6" t="s">
        <v>128</v>
      </c>
      <c r="F15" s="10">
        <v>1.8</v>
      </c>
      <c r="G15" s="3">
        <v>0.9</v>
      </c>
      <c r="H15" s="8">
        <f t="shared" si="0"/>
        <v>1.35</v>
      </c>
      <c r="I15" s="11">
        <v>110.83419000000001</v>
      </c>
      <c r="J15" s="12">
        <v>-7.45566</v>
      </c>
      <c r="K15" s="6" t="s">
        <v>177</v>
      </c>
      <c r="L15" s="6" t="s">
        <v>207</v>
      </c>
      <c r="M15" s="6" t="s">
        <v>175</v>
      </c>
    </row>
    <row r="16" spans="1:13" s="8" customFormat="1" ht="18" customHeight="1">
      <c r="A16" s="4" t="s">
        <v>52</v>
      </c>
      <c r="B16" s="5" t="s">
        <v>53</v>
      </c>
      <c r="C16" s="5" t="s">
        <v>54</v>
      </c>
      <c r="D16" s="5" t="s">
        <v>55</v>
      </c>
      <c r="E16" s="6" t="s">
        <v>122</v>
      </c>
      <c r="F16" s="5">
        <v>199</v>
      </c>
      <c r="G16" s="5">
        <v>189</v>
      </c>
      <c r="H16" s="8">
        <f t="shared" si="0"/>
        <v>194</v>
      </c>
      <c r="I16" s="7">
        <v>-2.93</v>
      </c>
      <c r="J16" s="7">
        <v>50.725000000000001</v>
      </c>
      <c r="K16" s="5" t="s">
        <v>56</v>
      </c>
      <c r="L16" s="5" t="s">
        <v>57</v>
      </c>
      <c r="M16" s="14" t="s">
        <v>202</v>
      </c>
    </row>
    <row r="17" spans="1:13" s="8" customFormat="1" ht="18" customHeight="1">
      <c r="A17" s="9" t="s">
        <v>91</v>
      </c>
      <c r="B17" s="6" t="s">
        <v>92</v>
      </c>
      <c r="C17" s="6" t="s">
        <v>60</v>
      </c>
      <c r="D17" s="6" t="s">
        <v>93</v>
      </c>
      <c r="E17" s="6" t="s">
        <v>127</v>
      </c>
      <c r="F17" s="10">
        <v>254</v>
      </c>
      <c r="G17" s="6">
        <v>254</v>
      </c>
      <c r="H17" s="8">
        <f t="shared" si="0"/>
        <v>254</v>
      </c>
      <c r="I17" s="11">
        <v>46.58</v>
      </c>
      <c r="J17" s="12">
        <v>61.15</v>
      </c>
      <c r="K17" s="6" t="s">
        <v>178</v>
      </c>
      <c r="L17" s="6" t="s">
        <v>208</v>
      </c>
      <c r="M17" s="6" t="s">
        <v>203</v>
      </c>
    </row>
    <row r="18" spans="1:13" s="8" customFormat="1" ht="18" customHeight="1">
      <c r="A18" s="4" t="s">
        <v>58</v>
      </c>
      <c r="B18" s="5" t="s">
        <v>59</v>
      </c>
      <c r="C18" s="5" t="s">
        <v>60</v>
      </c>
      <c r="D18" s="5" t="s">
        <v>220</v>
      </c>
      <c r="E18" s="6" t="s">
        <v>123</v>
      </c>
      <c r="F18" s="5">
        <v>251.7</v>
      </c>
      <c r="G18" s="5">
        <v>249</v>
      </c>
      <c r="H18" s="8">
        <f t="shared" si="0"/>
        <v>250.35</v>
      </c>
      <c r="I18" s="12">
        <v>25.93277496</v>
      </c>
      <c r="J18" s="12">
        <v>-30.327080259999999</v>
      </c>
      <c r="K18" s="5" t="s">
        <v>179</v>
      </c>
      <c r="L18" s="5" t="s">
        <v>61</v>
      </c>
      <c r="M18" s="5" t="s">
        <v>201</v>
      </c>
    </row>
    <row r="19" spans="1:13" s="8" customFormat="1" ht="18" customHeight="1">
      <c r="A19" s="4" t="s">
        <v>62</v>
      </c>
      <c r="B19" s="5" t="s">
        <v>63</v>
      </c>
      <c r="C19" s="5" t="s">
        <v>64</v>
      </c>
      <c r="D19" s="5" t="s">
        <v>65</v>
      </c>
      <c r="E19" s="6" t="s">
        <v>124</v>
      </c>
      <c r="F19" s="5">
        <v>304</v>
      </c>
      <c r="G19" s="5">
        <v>299</v>
      </c>
      <c r="H19" s="8">
        <f t="shared" si="0"/>
        <v>301.5</v>
      </c>
      <c r="I19" s="7">
        <v>2.766667</v>
      </c>
      <c r="J19" s="7">
        <v>46.283332999999999</v>
      </c>
      <c r="K19" s="5" t="s">
        <v>66</v>
      </c>
      <c r="L19" s="5" t="s">
        <v>209</v>
      </c>
      <c r="M19" s="5" t="s">
        <v>185</v>
      </c>
    </row>
    <row r="20" spans="1:13" s="8" customFormat="1" ht="18" customHeight="1">
      <c r="A20" s="9" t="s">
        <v>106</v>
      </c>
      <c r="B20" s="6" t="s">
        <v>68</v>
      </c>
      <c r="C20" s="6" t="s">
        <v>69</v>
      </c>
      <c r="D20" s="6" t="s">
        <v>107</v>
      </c>
      <c r="E20" s="6" t="s">
        <v>117</v>
      </c>
      <c r="F20" s="10">
        <v>80</v>
      </c>
      <c r="G20" s="6">
        <v>72</v>
      </c>
      <c r="H20" s="8">
        <f t="shared" si="0"/>
        <v>76</v>
      </c>
      <c r="I20" s="12">
        <v>177.03</v>
      </c>
      <c r="J20" s="12">
        <v>-39.07</v>
      </c>
      <c r="K20" s="6" t="s">
        <v>108</v>
      </c>
      <c r="L20" s="6" t="s">
        <v>210</v>
      </c>
      <c r="M20" s="6" t="s">
        <v>189</v>
      </c>
    </row>
    <row r="21" spans="1:13" s="8" customFormat="1" ht="18" customHeight="1">
      <c r="A21" s="4" t="s">
        <v>67</v>
      </c>
      <c r="B21" s="5" t="s">
        <v>68</v>
      </c>
      <c r="C21" s="5" t="s">
        <v>69</v>
      </c>
      <c r="D21" s="5" t="s">
        <v>70</v>
      </c>
      <c r="E21" s="6" t="s">
        <v>117</v>
      </c>
      <c r="F21" s="5">
        <v>72.099999999999994</v>
      </c>
      <c r="G21" s="5">
        <v>66</v>
      </c>
      <c r="H21" s="8">
        <f t="shared" si="0"/>
        <v>69.05</v>
      </c>
      <c r="I21" s="7">
        <v>5.6859999999999999</v>
      </c>
      <c r="J21" s="7">
        <v>50.820999999999998</v>
      </c>
      <c r="K21" s="5" t="s">
        <v>71</v>
      </c>
      <c r="L21" s="5" t="s">
        <v>211</v>
      </c>
      <c r="M21" s="5" t="s">
        <v>190</v>
      </c>
    </row>
    <row r="22" spans="1:13" s="8" customFormat="1" ht="18" customHeight="1">
      <c r="A22" s="9" t="s">
        <v>109</v>
      </c>
      <c r="B22" s="6" t="s">
        <v>110</v>
      </c>
      <c r="C22" s="6" t="s">
        <v>111</v>
      </c>
      <c r="D22" s="6" t="s">
        <v>112</v>
      </c>
      <c r="E22" s="6" t="s">
        <v>126</v>
      </c>
      <c r="F22" s="3">
        <v>11.8</v>
      </c>
      <c r="G22" s="3">
        <v>8.4</v>
      </c>
      <c r="H22" s="8">
        <f t="shared" si="0"/>
        <v>10.100000000000001</v>
      </c>
      <c r="I22" s="12">
        <v>-79.836483000000001</v>
      </c>
      <c r="J22" s="12">
        <v>9.3543500000000002</v>
      </c>
      <c r="K22" s="6" t="s">
        <v>191</v>
      </c>
      <c r="L22" s="6" t="s">
        <v>193</v>
      </c>
      <c r="M22" s="6" t="s">
        <v>192</v>
      </c>
    </row>
    <row r="23" spans="1:13" s="8" customFormat="1" ht="18" customHeight="1">
      <c r="A23" s="9" t="s">
        <v>103</v>
      </c>
      <c r="B23" s="6" t="s">
        <v>104</v>
      </c>
      <c r="C23" s="6" t="s">
        <v>105</v>
      </c>
      <c r="D23" s="6" t="s">
        <v>196</v>
      </c>
      <c r="E23" s="13" t="s">
        <v>126</v>
      </c>
      <c r="F23" s="10">
        <v>20</v>
      </c>
      <c r="G23" s="6">
        <v>15</v>
      </c>
      <c r="H23" s="8">
        <f t="shared" si="0"/>
        <v>17.5</v>
      </c>
      <c r="I23" s="12">
        <v>-71.23</v>
      </c>
      <c r="J23" s="12">
        <v>19.34</v>
      </c>
      <c r="K23" s="6" t="s">
        <v>195</v>
      </c>
      <c r="L23" s="6" t="s">
        <v>212</v>
      </c>
      <c r="M23" s="6" t="s">
        <v>194</v>
      </c>
    </row>
    <row r="24" spans="1:13" s="8" customFormat="1" ht="18" customHeight="1">
      <c r="A24" s="9" t="s">
        <v>88</v>
      </c>
      <c r="B24" s="8" t="s">
        <v>89</v>
      </c>
      <c r="C24" s="8" t="s">
        <v>6</v>
      </c>
      <c r="D24" s="3" t="s">
        <v>90</v>
      </c>
      <c r="E24" s="6" t="s">
        <v>120</v>
      </c>
      <c r="F24" s="10">
        <v>125</v>
      </c>
      <c r="G24" s="6">
        <v>125</v>
      </c>
      <c r="H24" s="8">
        <f t="shared" si="0"/>
        <v>125</v>
      </c>
      <c r="I24" s="11">
        <v>120.825</v>
      </c>
      <c r="J24" s="12">
        <v>41.692999999999998</v>
      </c>
      <c r="K24" s="6" t="s">
        <v>198</v>
      </c>
      <c r="L24" s="6" t="s">
        <v>213</v>
      </c>
      <c r="M24" s="6" t="s">
        <v>197</v>
      </c>
    </row>
    <row r="25" spans="1:13" s="8" customFormat="1" ht="18" customHeight="1">
      <c r="A25" s="9" t="s">
        <v>98</v>
      </c>
      <c r="B25" s="6" t="s">
        <v>99</v>
      </c>
      <c r="C25" s="6" t="s">
        <v>100</v>
      </c>
      <c r="D25" s="6" t="s">
        <v>101</v>
      </c>
      <c r="E25" s="6" t="s">
        <v>120</v>
      </c>
      <c r="F25" s="10">
        <v>111</v>
      </c>
      <c r="G25" s="6">
        <v>111</v>
      </c>
      <c r="H25" s="8">
        <f t="shared" si="0"/>
        <v>111</v>
      </c>
      <c r="I25" s="12">
        <v>-40.5</v>
      </c>
      <c r="J25" s="12">
        <v>-7.2</v>
      </c>
      <c r="K25" s="6" t="s">
        <v>102</v>
      </c>
      <c r="L25" s="6" t="s">
        <v>214</v>
      </c>
      <c r="M25" s="6" t="s">
        <v>199</v>
      </c>
    </row>
    <row r="26" spans="1:13" s="8" customFormat="1" ht="18" customHeight="1">
      <c r="A26" s="9" t="s">
        <v>168</v>
      </c>
      <c r="B26" s="6" t="s">
        <v>169</v>
      </c>
      <c r="C26" s="6" t="s">
        <v>170</v>
      </c>
      <c r="D26" s="6" t="s">
        <v>171</v>
      </c>
      <c r="E26" s="13" t="s">
        <v>118</v>
      </c>
      <c r="F26" s="10">
        <v>4</v>
      </c>
      <c r="G26" s="6">
        <v>3</v>
      </c>
      <c r="H26" s="8">
        <f t="shared" si="0"/>
        <v>3.5</v>
      </c>
      <c r="I26" s="11">
        <v>-66.83</v>
      </c>
      <c r="J26" s="12">
        <v>-27.22</v>
      </c>
      <c r="K26" s="6" t="s">
        <v>172</v>
      </c>
      <c r="L26" s="6" t="s">
        <v>173</v>
      </c>
      <c r="M26" s="6" t="s">
        <v>174</v>
      </c>
    </row>
    <row r="27" spans="1:13" s="8" customFormat="1" ht="18" customHeight="1">
      <c r="A27" s="4" t="s">
        <v>72</v>
      </c>
      <c r="B27" s="5" t="s">
        <v>73</v>
      </c>
      <c r="C27" s="5" t="s">
        <v>74</v>
      </c>
      <c r="D27" s="5" t="s">
        <v>75</v>
      </c>
      <c r="E27" s="6" t="s">
        <v>125</v>
      </c>
      <c r="F27" s="5">
        <v>375</v>
      </c>
      <c r="G27" s="5">
        <v>375</v>
      </c>
      <c r="H27" s="8">
        <f t="shared" si="0"/>
        <v>375</v>
      </c>
      <c r="I27" s="7">
        <v>-86.269183330000004</v>
      </c>
      <c r="J27" s="7">
        <v>77.1649666</v>
      </c>
      <c r="K27" s="5" t="s">
        <v>76</v>
      </c>
      <c r="L27" s="5" t="s">
        <v>215</v>
      </c>
      <c r="M27" s="5" t="s">
        <v>183</v>
      </c>
    </row>
    <row r="28" spans="1:13" s="8" customFormat="1" ht="18" customHeight="1">
      <c r="A28" s="4" t="s">
        <v>77</v>
      </c>
      <c r="B28" s="5" t="s">
        <v>78</v>
      </c>
      <c r="C28" s="5" t="s">
        <v>6</v>
      </c>
      <c r="D28" s="5" t="s">
        <v>79</v>
      </c>
      <c r="E28" s="6" t="s">
        <v>117</v>
      </c>
      <c r="F28" s="5">
        <v>66</v>
      </c>
      <c r="G28" s="8">
        <v>66</v>
      </c>
      <c r="H28" s="8">
        <f t="shared" si="0"/>
        <v>66</v>
      </c>
      <c r="I28" s="7">
        <v>-106.52</v>
      </c>
      <c r="J28" s="7">
        <v>47.72</v>
      </c>
      <c r="K28" s="5" t="s">
        <v>186</v>
      </c>
      <c r="L28" s="5" t="s">
        <v>216</v>
      </c>
      <c r="M28" s="5" t="s">
        <v>187</v>
      </c>
    </row>
    <row r="29" spans="1:13" s="8" customFormat="1" ht="18" customHeight="1">
      <c r="A29" s="4" t="s">
        <v>80</v>
      </c>
      <c r="B29" s="5" t="s">
        <v>81</v>
      </c>
      <c r="C29" s="5" t="s">
        <v>6</v>
      </c>
      <c r="D29" s="5" t="s">
        <v>82</v>
      </c>
      <c r="E29" s="6" t="s">
        <v>117</v>
      </c>
      <c r="F29" s="5">
        <v>75</v>
      </c>
      <c r="G29" s="5">
        <v>71</v>
      </c>
      <c r="H29" s="8">
        <f t="shared" si="0"/>
        <v>73</v>
      </c>
      <c r="I29" s="7">
        <v>103.416667</v>
      </c>
      <c r="J29" s="7">
        <v>44.174999999999997</v>
      </c>
      <c r="K29" s="5" t="s">
        <v>83</v>
      </c>
      <c r="L29" s="5" t="s">
        <v>217</v>
      </c>
      <c r="M29" s="5" t="s">
        <v>188</v>
      </c>
    </row>
    <row r="30" spans="1:13" s="8" customFormat="1" ht="18" customHeight="1">
      <c r="A30" s="9" t="s">
        <v>162</v>
      </c>
      <c r="B30" s="6" t="s">
        <v>159</v>
      </c>
      <c r="C30" s="6" t="s">
        <v>160</v>
      </c>
      <c r="D30" s="6" t="s">
        <v>161</v>
      </c>
      <c r="E30" s="6" t="s">
        <v>117</v>
      </c>
      <c r="F30" s="10">
        <v>69.2</v>
      </c>
      <c r="G30" s="6">
        <v>66</v>
      </c>
      <c r="H30" s="8">
        <f t="shared" si="0"/>
        <v>67.599999999999994</v>
      </c>
      <c r="I30" s="11">
        <v>-56.7423</v>
      </c>
      <c r="J30" s="12">
        <v>-64.290090000000006</v>
      </c>
      <c r="K30" s="6" t="s">
        <v>163</v>
      </c>
      <c r="L30" s="6" t="s">
        <v>218</v>
      </c>
      <c r="M30" s="6" t="s">
        <v>164</v>
      </c>
    </row>
    <row r="31" spans="1:13" s="8" customFormat="1" ht="18" customHeight="1">
      <c r="A31" s="13" t="s">
        <v>165</v>
      </c>
      <c r="B31" s="3" t="s">
        <v>84</v>
      </c>
      <c r="C31" s="3" t="s">
        <v>84</v>
      </c>
      <c r="D31" s="6" t="s">
        <v>84</v>
      </c>
      <c r="E31" s="6" t="s">
        <v>129</v>
      </c>
      <c r="F31" s="3">
        <v>0</v>
      </c>
      <c r="G31" s="3">
        <v>0</v>
      </c>
      <c r="H31" s="8">
        <f t="shared" si="0"/>
        <v>0</v>
      </c>
      <c r="I31" s="12">
        <v>0</v>
      </c>
      <c r="J31" s="12">
        <v>51.477800000000002</v>
      </c>
      <c r="K31" s="6" t="s">
        <v>166</v>
      </c>
      <c r="L31" s="6" t="s">
        <v>219</v>
      </c>
      <c r="M31" s="6" t="s">
        <v>167</v>
      </c>
    </row>
    <row r="33" spans="2:2" ht="15.75" customHeight="1">
      <c r="B33" s="3"/>
    </row>
  </sheetData>
  <sortState xmlns:xlrd2="http://schemas.microsoft.com/office/spreadsheetml/2017/richdata2" ref="A2:M30">
    <sortCondition ref="A2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Scholz Murcia</cp:lastModifiedBy>
  <dcterms:modified xsi:type="dcterms:W3CDTF">2025-07-17T08:40:17Z</dcterms:modified>
</cp:coreProperties>
</file>